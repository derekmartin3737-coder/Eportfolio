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22eda162b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 of Materials" sheetId="1" r:id="R22b9308ec95f46fa"/>
    <x:sheet xmlns:r="http://schemas.openxmlformats.org/officeDocument/2006/relationships" name="Submission Notes" sheetId="2" r:id="Ra99a595ff502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4"/>
      <x:name val="Carlito"/>
    </x:font>
    <x:font>
      <x:b/>
      <x:sz val="14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4C6E7"/>
      </x:patternFill>
    </x:fill>
    <x:fill>
      <x:patternFill patternType="solid">
        <x:fgColor rgb="EAF2F8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200" fontId="1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5" borderId="1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715609f8a453b" /><Relationship Type="http://schemas.openxmlformats.org/officeDocument/2006/relationships/theme" Target="/xl/theme/theme1.xml" Id="R7d2e7fa24c4648aa" /><Relationship Type="http://schemas.openxmlformats.org/officeDocument/2006/relationships/sharedStrings" Target="/xl/sharedStrings.xml" Id="R0fb4632e9a814bcf" /><Relationship Type="http://schemas.openxmlformats.org/officeDocument/2006/relationships/worksheet" Target="/xl/worksheets/sheet1.xml" Id="R22b9308ec95f46fa" /><Relationship Type="http://schemas.openxmlformats.org/officeDocument/2006/relationships/worksheet" Target="/xl/worksheets/sheet2.xml" Id="Ra99a595ff5024544" /></Relationships>
</file>

<file path=xl/tables/table1.xml><?xml version="1.0" encoding="utf-8"?>
<x:table xmlns:x="http://schemas.openxmlformats.org/spreadsheetml/2006/main" id="1" name="PianoBotBOM" displayName="PianoBotBOM" ref="A7:M38" headerRowCount="1">
  <x:tableColumns count="13">
    <x:tableColumn id="1" name="Item #"/>
    <x:tableColumn id="2" name="Part Number / Source ID"/>
    <x:tableColumn id="3" name="Part Name"/>
    <x:tableColumn id="4" name="Description"/>
    <x:tableColumn id="5" name="Material / Type"/>
    <x:tableColumn id="6" name="Quantity"/>
    <x:tableColumn id="7" name="Units"/>
    <x:tableColumn id="8" name="Unit Cost"/>
    <x:tableColumn id="9" name="Amount"/>
    <x:tableColumn id="10" name="Ordered?"/>
    <x:tableColumn id="11" name="Arrived?"/>
    <x:tableColumn id="12" name="Purchase Link / Source"/>
    <x:tableColumn id="13" name="Drawing Refer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9dcb269a7d473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6" hidden="0" customWidth="1"/>
    <x:col min="4" max="4" width="54" hidden="0" customWidth="1"/>
    <x:col min="5" max="5" width="28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42" hidden="0" customWidth="1"/>
    <x:col min="13" max="13" width="42" hidden="0" customWidth="1"/>
  </x:cols>
  <x:sheetData>
    <x:row r="1">
      <x:c r="A1" s="36" t="str">
        <x:v>Team 044 PianoBot - Bill of Materials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</x:row>
    <x:row r="2">
      <x:c r="A2" s="37" t="str">
        <x:v>Cleaned for MIME 498 Drawing Package submission. Purchase links are based on existing ASIN/UPC/McMaster/source identifiers where available; verify before reordering.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>
      <x:c r="A4" s="39" t="str">
        <x:v>Product Name</x:v>
      </x:c>
      <x:c r="B4" s="39" t="str">
        <x:v>PianoBot / MusicalBot Encore</x:v>
      </x:c>
      <x:c r="C4" s="39"/>
      <x:c r="D4" s="39" t="str">
        <x:v>Part Count</x:v>
      </x:c>
      <x:c r="E4" s="39" t="n">
        <x:v>130</x:v>
      </x:c>
      <x:c r="F4" s="39"/>
      <x:c r="G4" s="39" t="str">
        <x:v>Total Cost</x:v>
      </x:c>
      <x:c r="H4" s="39" t="n">
        <x:v>985.9200000000001</x:v>
      </x:c>
      <x:c r="I4" s="38"/>
      <x:c r="J4" s="38"/>
      <x:c r="K4" s="38"/>
      <x:c r="L4" s="38"/>
      <x:c r="M4" s="38"/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</x:row>
    <x:row r="7">
      <x:c r="A7" s="40" t="str">
        <x:v>Item #</x:v>
      </x:c>
      <x:c r="B7" s="40" t="str">
        <x:v>Part Number / Source ID</x:v>
      </x:c>
      <x:c r="C7" s="40" t="str">
        <x:v>Part Name</x:v>
      </x:c>
      <x:c r="D7" s="40" t="str">
        <x:v>Description</x:v>
      </x:c>
      <x:c r="E7" s="40" t="str">
        <x:v>Material / Type</x:v>
      </x:c>
      <x:c r="F7" s="40" t="str">
        <x:v>Quantity</x:v>
      </x:c>
      <x:c r="G7" s="40" t="str">
        <x:v>Units</x:v>
      </x:c>
      <x:c r="H7" s="40" t="str">
        <x:v>Unit Cost</x:v>
      </x:c>
      <x:c r="I7" s="40" t="str">
        <x:v>Amount</x:v>
      </x:c>
      <x:c r="J7" s="40" t="str">
        <x:v>Ordered?</x:v>
      </x:c>
      <x:c r="K7" s="40" t="str">
        <x:v>Arrived?</x:v>
      </x:c>
      <x:c r="L7" s="40" t="str">
        <x:v>Purchase Link / Source</x:v>
      </x:c>
      <x:c r="M7" s="40" t="str">
        <x:v>Drawing Reference / Notes</x:v>
      </x:c>
    </x:row>
    <x:row r="8">
      <x:c r="A8" s="41" t="n">
        <x:v>1</x:v>
      </x:c>
      <x:c r="B8" s="41" t="str">
        <x:v>UPC: 702455810134</x:v>
      </x:c>
      <x:c r="C8" s="41" t="str">
        <x:v>Power Supply</x:v>
      </x:c>
      <x:c r="D8" s="41" t="str">
        <x:v>AC 110V/220V to DC 12V 30A 360W Universal Regulated Switching Power Supply Transformer Adapter</x:v>
      </x:c>
      <x:c r="E8" s="41" t="str">
        <x:v>Purchased electrical component</x:v>
      </x:c>
      <x:c r="F8" s="41" t="n">
        <x:v>1</x:v>
      </x:c>
      <x:c r="G8" s="41" t="n">
        <x:v>1</x:v>
      </x:c>
      <x:c r="H8" s="42" t="n">
        <x:v>24.99</x:v>
      </x:c>
      <x:c r="I8" s="42" t="n">
        <x:v>24.99</x:v>
      </x:c>
      <x:c r="J8" s="41" t="str">
        <x:v>Yes</x:v>
      </x:c>
      <x:c r="K8" s="41" t="str">
        <x:v>Yes</x:v>
      </x:c>
      <x:c r="L8" s="41" t="str">
        <x:v>https://www.google.com/search?q=UPC%3A+702455810134+Power+Supply</x:v>
      </x:c>
      <x:c r="M8" s="41"/>
    </x:row>
    <x:row r="9">
      <x:c r="A9" s="41" t="n">
        <x:v>2</x:v>
      </x:c>
      <x:c r="B9" s="41" t="str">
        <x:v>UPC: 752560883042</x:v>
      </x:c>
      <x:c r="C9" s="41" t="str">
        <x:v>3-Wire Appliance and Power Tool Cord</x:v>
      </x:c>
      <x:c r="D9" s="41" t="str">
        <x:v>3-Wire Appliance and Power Tool Cord, 9 ft, 14 AWG, 15A/125V AC, 1875w</x:v>
      </x:c>
      <x:c r="E9" s="41" t="str">
        <x:v>Copper conductor / insulated jacket</x:v>
      </x:c>
      <x:c r="F9" s="41" t="n">
        <x:v>1</x:v>
      </x:c>
      <x:c r="G9" s="41" t="n">
        <x:v>1</x:v>
      </x:c>
      <x:c r="H9" s="42" t="n">
        <x:v>11.99</x:v>
      </x:c>
      <x:c r="I9" s="42" t="n">
        <x:v>11.99</x:v>
      </x:c>
      <x:c r="J9" s="41" t="str">
        <x:v>Yes</x:v>
      </x:c>
      <x:c r="K9" s="41" t="str">
        <x:v>Yes</x:v>
      </x:c>
      <x:c r="L9" s="41" t="str">
        <x:v>https://www.google.com/search?q=UPC%3A+752560883042+3-Wire+Appliance+and+Power+Tool+Cord</x:v>
      </x:c>
      <x:c r="M9" s="41"/>
    </x:row>
    <x:row r="10">
      <x:c r="A10" s="41" t="n">
        <x:v>3</x:v>
      </x:c>
      <x:c r="B10" s="41" t="str">
        <x:v>ASIN: B0CKQ2172Z</x:v>
      </x:c>
      <x:c r="C10" s="41" t="str">
        <x:v>Electrical Wire Cable</x:v>
      </x:c>
      <x:c r="D10" s="41" t="str">
        <x:v>14AWG 100FT Electrical Wire Cable 2 Conductors Red Black Cable Hookup</x:v>
      </x:c>
      <x:c r="E10" s="41" t="str">
        <x:v>Copper conductor / insulated jacket</x:v>
      </x:c>
      <x:c r="F10" s="41" t="n">
        <x:v>1</x:v>
      </x:c>
      <x:c r="G10" s="41" t="n">
        <x:v>1</x:v>
      </x:c>
      <x:c r="H10" s="42" t="n">
        <x:v>15.99</x:v>
      </x:c>
      <x:c r="I10" s="42" t="n">
        <x:v>15.99</x:v>
      </x:c>
      <x:c r="J10" s="41" t="str">
        <x:v>Yes</x:v>
      </x:c>
      <x:c r="K10" s="41" t="str">
        <x:v>Yes</x:v>
      </x:c>
      <x:c r="L10" s="41" t="str">
        <x:v>https://www.amazon.com/dp/B0CKQ2172Z</x:v>
      </x:c>
      <x:c r="M10" s="41"/>
    </x:row>
    <x:row r="11">
      <x:c r="A11" s="41" t="n">
        <x:v>4</x:v>
      </x:c>
      <x:c r="B11" s="41" t="str">
        <x:v>ASIN: B07L1PSR9X</x:v>
      </x:c>
      <x:c r="C11" s="41" t="str">
        <x:v>Terminal Block and Strip</x:v>
      </x:c>
      <x:c r="D11" s="41" t="str">
        <x:v>MILAPEAK Terminal Block and Strip - 5pcs 12 Positions 600V 15A Dual Row Screw Terminal Blocks with Cover + 10pcs 400V 15A 12 Positions Pre-Insulated Terminal Barrier Jumper Strips Black &amp; Red</x:v>
      </x:c>
      <x:c r="E11" s="41" t="str">
        <x:v>Steel / aluminum hardware</x:v>
      </x:c>
      <x:c r="F11" s="41" t="n">
        <x:v>2</x:v>
      </x:c>
      <x:c r="G11" s="41" t="n">
        <x:v>5</x:v>
      </x:c>
      <x:c r="H11" s="42" t="n">
        <x:v>13.89</x:v>
      </x:c>
      <x:c r="I11" s="42" t="n">
        <x:v>27.78</x:v>
      </x:c>
      <x:c r="J11" s="41" t="str">
        <x:v>Yes</x:v>
      </x:c>
      <x:c r="K11" s="41" t="str">
        <x:v>Yes</x:v>
      </x:c>
      <x:c r="L11" s="41" t="str">
        <x:v>https://www.amazon.com/dp/B07L1PSR9X</x:v>
      </x:c>
      <x:c r="M11" s="41" t="str">
        <x:v>Barrier block detail in DrawingPackage page 9 for assembly representation.</x:v>
      </x:c>
    </x:row>
    <x:row r="12">
      <x:c r="A12" s="41" t="n">
        <x:v>5</x:v>
      </x:c>
      <x:c r="B12" s="41" t="str">
        <x:v>UPC: 700972956397</x:v>
      </x:c>
      <x:c r="C12" s="41" t="str">
        <x:v>Servo Motor Controller 16 Channel PWM</x:v>
      </x:c>
      <x:c r="D12" s="41" t="str">
        <x:v>2 Pcs PCA9685 Servo Motor Controller 16 Channel PWM Servo Driver Board IIC Module for Arduino for Raspberry Pi</x:v>
      </x:c>
      <x:c r="E12" s="41" t="str">
        <x:v>Purchased electrical component</x:v>
      </x:c>
      <x:c r="F12" s="41" t="n">
        <x:v>2</x:v>
      </x:c>
      <x:c r="G12" s="41" t="n">
        <x:v>2</x:v>
      </x:c>
      <x:c r="H12" s="42" t="n">
        <x:v>19.98</x:v>
      </x:c>
      <x:c r="I12" s="42" t="n">
        <x:v>39.96</x:v>
      </x:c>
      <x:c r="J12" s="41" t="str">
        <x:v>Yes</x:v>
      </x:c>
      <x:c r="K12" s="41" t="str">
        <x:v>Yes</x:v>
      </x:c>
      <x:c r="L12" s="41" t="str">
        <x:v>https://www.google.com/search?q=UPC%3A+700972956397+Servo+Motor+Controller+16+Channel+PWM</x:v>
      </x:c>
      <x:c r="M12" s="41" t="str">
        <x:v>PCA9685 boards shown in assembly/BOM; mounts listed on assembly drawing.</x:v>
      </x:c>
    </x:row>
    <x:row r="13">
      <x:c r="A13" s="41" t="n">
        <x:v>6</x:v>
      </x:c>
      <x:c r="B13" s="41" t="str">
        <x:v>ASIN: B0DYSM2K11</x:v>
      </x:c>
      <x:c r="C13" s="41" t="str">
        <x:v>M4 x 8mm</x:v>
      </x:c>
      <x:c r="D13" s="41" t="str">
        <x:v>180pcs M4 x 8mm Hex Socket Head Cap Screws Bolts, 12.9 Grade Alloy Steel, Black Oxide Finish, Allen Socket Drive, Full Threads,with Hex Spanner</x:v>
      </x:c>
      <x:c r="E13" s="41" t="str">
        <x:v>Steel / aluminum hardware</x:v>
      </x:c>
      <x:c r="F13" s="41" t="n">
        <x:v>1</x:v>
      </x:c>
      <x:c r="G13" s="41" t="n">
        <x:v>180</x:v>
      </x:c>
      <x:c r="H13" s="42" t="n">
        <x:v>9.49</x:v>
      </x:c>
      <x:c r="I13" s="42" t="n">
        <x:v>9.49</x:v>
      </x:c>
      <x:c r="J13" s="41" t="str">
        <x:v>Yes</x:v>
      </x:c>
      <x:c r="K13" s="41" t="str">
        <x:v>Yes</x:v>
      </x:c>
      <x:c r="L13" s="41" t="str">
        <x:v>https://www.amazon.com/dp/B0DYSM2K11</x:v>
      </x:c>
      <x:c r="M13" s="41"/>
    </x:row>
    <x:row r="14">
      <x:c r="A14" s="41" t="n">
        <x:v>7</x:v>
      </x:c>
      <x:c r="B14" s="41" t="str">
        <x:v>ASIN: B07Z4JQPBN</x:v>
      </x:c>
      <x:c r="C14" s="41" t="str">
        <x:v>25N Push Pull Type Solenoid</x:v>
      </x:c>
      <x:c r="D14" s="41" t="str">
        <x:v>Fielect DC 12V 25N Push Pull Type Solenoid Electromagnet, 0.4A 10mm Stroke, Open Frame Type Solenoid, Linear Motion, JF-1039B</x:v>
      </x:c>
      <x:c r="E14" s="41" t="str">
        <x:v>Purchased electromechanical component</x:v>
      </x:c>
      <x:c r="F14" s="41" t="n">
        <x:v>75</x:v>
      </x:c>
      <x:c r="G14" s="41" t="n">
        <x:v>1</x:v>
      </x:c>
      <x:c r="H14" s="42" t="n">
        <x:v>3.4</x:v>
      </x:c>
      <x:c r="I14" s="42" t="n">
        <x:v>355</x:v>
      </x:c>
      <x:c r="J14" s="41" t="str">
        <x:v>Yes</x:v>
      </x:c>
      <x:c r="K14" s="41" t="str">
        <x:v>Yes</x:v>
      </x:c>
      <x:c r="L14" s="41" t="str">
        <x:v>https://www.amazon.com/dp/B07Z4JQPBN</x:v>
      </x:c>
      <x:c r="M14" s="41" t="str">
        <x:v>Reference drawing in DrawingPackage page 8; used in assemblies.</x:v>
      </x:c>
    </x:row>
    <x:row r="15">
      <x:c r="A15" s="41" t="n">
        <x:v>8</x:v>
      </x:c>
      <x:c r="B15" s="41" t="str">
        <x:v>LR7843</x:v>
      </x:c>
      <x:c r="C15" s="41" t="str">
        <x:v>MOS FET LR7843</x:v>
      </x:c>
      <x:c r="D15" s="41" t="str">
        <x:v>MOS FET LR7843 N 4 Channels Pulse Trigger Switch Controller PWM Input Steady for Motor LED 4 Way 4ch 4 way Diy Electronic Module</x:v>
      </x:c>
      <x:c r="E15" s="41" t="str">
        <x:v>Purchased electrical component</x:v>
      </x:c>
      <x:c r="F15" s="41" t="n">
        <x:v>16</x:v>
      </x:c>
      <x:c r="G15" s="41" t="n">
        <x:v>1</x:v>
      </x:c>
      <x:c r="H15" s="42" t="n">
        <x:v>2.43</x:v>
      </x:c>
      <x:c r="I15" s="42" t="n">
        <x:v>34.88</x:v>
      </x:c>
      <x:c r="J15" s="41" t="str">
        <x:v>Yes</x:v>
      </x:c>
      <x:c r="K15" s="41" t="str">
        <x:v>Yes</x:v>
      </x:c>
      <x:c r="L15" s="41" t="str">
        <x:v>https://www.google.com/search?q=LR7843+MOS+FET+LR7843</x:v>
      </x:c>
      <x:c r="M15" s="41" t="str">
        <x:v>Electronic module mounted with custom MOSFET mount drawing appended to DrawingPackage.</x:v>
      </x:c>
    </x:row>
    <x:row r="16">
      <x:c r="A16" s="41" t="n">
        <x:v>9</x:v>
      </x:c>
      <x:c r="B16" s="41" t="str">
        <x:v>47065T103</x:v>
      </x:c>
      <x:c r="C16" s="41" t="str">
        <x:v>T-Slotted Framing</x:v>
      </x:c>
      <x:c r="D16" s="41" t="str">
        <x:v>Single Four Slot Rail, Silver, 1.5" High x 1.5" Wide, Solid</x:v>
      </x:c>
      <x:c r="E16" s="41" t="str">
        <x:v>6063 aluminum</x:v>
      </x:c>
      <x:c r="F16" s="41" t="n">
        <x:v>2</x:v>
      </x:c>
      <x:c r="G16" s="41" t="n">
        <x:v>1</x:v>
      </x:c>
      <x:c r="H16" s="42" t="n">
        <x:v>92.62</x:v>
      </x:c>
      <x:c r="I16" s="42" t="n">
        <x:v>185.24</x:v>
      </x:c>
      <x:c r="J16" s="41" t="str">
        <x:v>Yes</x:v>
      </x:c>
      <x:c r="K16" s="41" t="str">
        <x:v>Yes</x:v>
      </x:c>
      <x:c r="L16" s="41" t="str">
        <x:v>https://www.mcmaster.com/47065T103/</x:v>
      </x:c>
      <x:c r="M16" s="41" t="str">
        <x:v>80/20 frame cut drawings in DrawingPackage pages 10-12.</x:v>
      </x:c>
    </x:row>
    <x:row r="17">
      <x:c r="A17" s="41" t="n">
        <x:v>10</x:v>
      </x:c>
      <x:c r="B17" s="41" t="str">
        <x:v>ASIN: B0FJX3GX2L</x:v>
      </x:c>
      <x:c r="C17" s="41" t="str">
        <x:v>Male Multicolored Dupont Wire</x:v>
      </x:c>
      <x:c r="D17" s="41" t="str">
        <x:v>40pcs 30 cm (12 inch) Female to Male Multicolored Dupont Wire Breadboard Jumper Ribbon Cables Compatible with Arduino Projects(F/M)</x:v>
      </x:c>
      <x:c r="E17" s="41" t="str">
        <x:v>Copper conductor / insulated jacket</x:v>
      </x:c>
      <x:c r="F17" s="41" t="n">
        <x:v>4</x:v>
      </x:c>
      <x:c r="G17" s="41" t="n">
        <x:v>40</x:v>
      </x:c>
      <x:c r="H17" s="42" t="n">
        <x:v>4.99</x:v>
      </x:c>
      <x:c r="I17" s="42" t="n">
        <x:v>19.96</x:v>
      </x:c>
      <x:c r="J17" s="41" t="str">
        <x:v>Yes</x:v>
      </x:c>
      <x:c r="K17" s="41" t="str">
        <x:v>Yes</x:v>
      </x:c>
      <x:c r="L17" s="41" t="str">
        <x:v>https://www.amazon.com/dp/B0FJX3GX2L</x:v>
      </x:c>
      <x:c r="M17" s="41"/>
    </x:row>
    <x:row r="18">
      <x:c r="A18" s="41" t="n">
        <x:v>11</x:v>
      </x:c>
      <x:c r="B18" s="41" t="str">
        <x:v>ASIN: B0BRK4QBSL</x:v>
      </x:c>
      <x:c r="C18" s="41" t="str">
        <x:v>10N Push Pull Type Solenoid</x:v>
      </x:c>
      <x:c r="D18" s="41" t="str">
        <x:v>MEETOOT Rectangular Sucker Electromagnet 5V 10N Push Pull Type Solenoid Frame for Electromagnetic Lock Solenoid Valve</x:v>
      </x:c>
      <x:c r="E18" s="41" t="str">
        <x:v>Purchased electromechanical component</x:v>
      </x:c>
      <x:c r="F18" s="41" t="n">
        <x:v>1</x:v>
      </x:c>
      <x:c r="G18" s="41" t="n">
        <x:v>1</x:v>
      </x:c>
      <x:c r="H18" s="42" t="n">
        <x:v>8.99</x:v>
      </x:c>
      <x:c r="I18" s="42" t="n">
        <x:v>8.99</x:v>
      </x:c>
      <x:c r="J18" s="41" t="str">
        <x:v>Yes</x:v>
      </x:c>
      <x:c r="K18" s="41" t="str">
        <x:v>Yes</x:v>
      </x:c>
      <x:c r="L18" s="41" t="str">
        <x:v>https://www.amazon.com/dp/B0BRK4QBSL</x:v>
      </x:c>
      <x:c r="M18" s="41"/>
    </x:row>
    <x:row r="19">
      <x:c r="A19" s="41" t="n">
        <x:v>12</x:v>
      </x:c>
      <x:c r="B19" s="41" t="str">
        <x:v>657835617462</x:v>
      </x:c>
      <x:c r="C19" s="41" t="str">
        <x:v>5N/10mm Push Pull Type DC Solenoid</x:v>
      </x:c>
      <x:c r="D19" s="41" t="str">
        <x:v>Ximimark 2Pcs JF-0530B DC12V 300mA 5N/10mm Push Pull Type DC Solenoid Electromagnet Magnete</x:v>
      </x:c>
      <x:c r="E19" s="41" t="str">
        <x:v>Purchased electromechanical component</x:v>
      </x:c>
      <x:c r="F19" s="41" t="n">
        <x:v>1</x:v>
      </x:c>
      <x:c r="G19" s="41" t="n">
        <x:v>2</x:v>
      </x:c>
      <x:c r="H19" s="42" t="n">
        <x:v>9.99</x:v>
      </x:c>
      <x:c r="I19" s="42" t="n">
        <x:v>9.99</x:v>
      </x:c>
      <x:c r="J19" s="41" t="str">
        <x:v>Yes</x:v>
      </x:c>
      <x:c r="K19" s="41" t="str">
        <x:v>Yes</x:v>
      </x:c>
      <x:c r="L19" s="41" t="str">
        <x:v>https://www.google.com/search?q=657835617462+5N%2F10mm+Push+Pull+Type+DC+Solenoid</x:v>
      </x:c>
      <x:c r="M19" s="41"/>
    </x:row>
    <x:row r="20">
      <x:c r="A20" s="41" t="n">
        <x:v>13</x:v>
      </x:c>
      <x:c r="B20" s="41" t="str">
        <x:v>ASIN: B07Z4JQPBN</x:v>
      </x:c>
      <x:c r="C20" s="41" t="str">
        <x:v>25N Push Pull Type Solenoid</x:v>
      </x:c>
      <x:c r="D20" s="41" t="str">
        <x:v>Fielect DC 12V 25N Push Pull Type Solenoid Electromagnet, 0.4A 10mm Stroke, Open Frame Type Solenoid, Linear Motion, JF-1039B</x:v>
      </x:c>
      <x:c r="E20" s="41" t="str">
        <x:v>Purchased electromechanical component</x:v>
      </x:c>
      <x:c r="F20" s="41" t="n">
        <x:v>1</x:v>
      </x:c>
      <x:c r="G20" s="41" t="n">
        <x:v>1</x:v>
      </x:c>
      <x:c r="H20" s="42" t="n">
        <x:v>13.89</x:v>
      </x:c>
      <x:c r="I20" s="42" t="n">
        <x:v>13.89</x:v>
      </x:c>
      <x:c r="J20" s="41" t="str">
        <x:v>Yes</x:v>
      </x:c>
      <x:c r="K20" s="41" t="str">
        <x:v>Yes</x:v>
      </x:c>
      <x:c r="L20" s="41" t="str">
        <x:v>https://www.amazon.com/dp/B07Z4JQPBN</x:v>
      </x:c>
      <x:c r="M20" s="41" t="str">
        <x:v>Reference drawing in DrawingPackage page 8; used in assemblies.</x:v>
      </x:c>
    </x:row>
    <x:row r="21">
      <x:c r="A21" s="41" t="n">
        <x:v>14</x:v>
      </x:c>
      <x:c r="B21" s="41" t="str">
        <x:v>ASIN: B0CXMCKL1Q</x:v>
      </x:c>
      <x:c r="C21" s="41" t="str">
        <x:v>18AWG 100FT Electrical Wire Cable</x:v>
      </x:c>
      <x:c r="D21" s="41" t="str">
        <x:v>18AWG 100FT Electrical Wire Cable 2 Conductors Red Black Cable Hookup LED Lighting Strips Flexible Wire Extension Cord 18 Gauge Copper Clad Aluminum Copper Wire 12V/24V DC Cable</x:v>
      </x:c>
      <x:c r="E21" s="41" t="str">
        <x:v>6063 aluminum</x:v>
      </x:c>
      <x:c r="F21" s="41" t="n">
        <x:v>1</x:v>
      </x:c>
      <x:c r="G21" s="41" t="n">
        <x:v>1</x:v>
      </x:c>
      <x:c r="H21" s="42" t="n">
        <x:v>13.99</x:v>
      </x:c>
      <x:c r="I21" s="42" t="n">
        <x:v>13.99</x:v>
      </x:c>
      <x:c r="J21" s="41" t="str">
        <x:v>Yes</x:v>
      </x:c>
      <x:c r="K21" s="41" t="str">
        <x:v>Yes</x:v>
      </x:c>
      <x:c r="L21" s="41" t="str">
        <x:v>https://www.amazon.com/dp/B0CXMCKL1Q</x:v>
      </x:c>
      <x:c r="M21" s="41"/>
    </x:row>
    <x:row r="22">
      <x:c r="A22" s="41" t="n">
        <x:v>15</x:v>
      </x:c>
      <x:c r="B22" s="41" t="str">
        <x:v>a22120800ux0241</x:v>
      </x:c>
      <x:c r="C22" s="41" t="str">
        <x:v>Inside Corner Bracket Gusset Kits</x:v>
      </x:c>
      <x:c r="D22" s="41" t="str">
        <x:v>uxcell 8Set Inside Corner Bracket Gusset Kits, 38x38x35mm 4040 Angle Connector for 4040 Series Aluminum Profile (Silver/ 16 x T-Slot Nuts &amp; Hex Socket Bolts &amp; Washers)</x:v>
      </x:c>
      <x:c r="E22" s="41" t="str">
        <x:v>6063 aluminum</x:v>
      </x:c>
      <x:c r="F22" s="41" t="n">
        <x:v>1</x:v>
      </x:c>
      <x:c r="G22" s="41" t="n">
        <x:v>8</x:v>
      </x:c>
      <x:c r="H22" s="42" t="n">
        <x:v>17.39</x:v>
      </x:c>
      <x:c r="I22" s="42" t="n">
        <x:v>17.39</x:v>
      </x:c>
      <x:c r="J22" s="41" t="str">
        <x:v>Yes</x:v>
      </x:c>
      <x:c r="K22" s="41" t="str">
        <x:v>Yes</x:v>
      </x:c>
      <x:c r="L22" s="41" t="str">
        <x:v>https://www.google.com/search?q=a22120800ux0241+Inside+Corner+Bracket+Gusset+Kits</x:v>
      </x:c>
      <x:c r="M22" s="41"/>
    </x:row>
    <x:row r="23">
      <x:c r="A23" s="41" t="n">
        <x:v>16</x:v>
      </x:c>
      <x:c r="B23" s="41" t="str">
        <x:v>ASIN: B0CJ86H3N3</x:v>
      </x:c>
      <x:c r="C23" s="41" t="str">
        <x:v>M6 Sliding T Nuts</x:v>
      </x:c>
      <x:c r="D23" s="41" t="str">
        <x:v>20pcs 3030 Series M6 Sliding T Nuts Metric M6 Thread Slide in T-Nut for European Standard T-Slot Aluminum Extrusion Profile</x:v>
      </x:c>
      <x:c r="E23" s="41" t="str">
        <x:v>6063 aluminum</x:v>
      </x:c>
      <x:c r="F23" s="41" t="n">
        <x:v>2</x:v>
      </x:c>
      <x:c r="G23" s="41" t="n">
        <x:v>20</x:v>
      </x:c>
      <x:c r="H23" s="42" t="n">
        <x:v>9.99</x:v>
      </x:c>
      <x:c r="I23" s="42" t="n">
        <x:v>19.98</x:v>
      </x:c>
      <x:c r="J23" s="41" t="str">
        <x:v>Yes</x:v>
      </x:c>
      <x:c r="K23" s="41" t="str">
        <x:v>Yes</x:v>
      </x:c>
      <x:c r="L23" s="41" t="str">
        <x:v>https://www.amazon.com/dp/B0CJ86H3N3</x:v>
      </x:c>
      <x:c r="M23" s="41"/>
    </x:row>
    <x:row r="24">
      <x:c r="A24" s="41" t="n">
        <x:v>17</x:v>
      </x:c>
      <x:c r="B24" s="41" t="str">
        <x:v>MP-T003-03-141</x:v>
      </x:c>
      <x:c r="C24" s="41" t="str">
        <x:v>Terminal Block and Strip</x:v>
      </x:c>
      <x:c r="D24" s="41" t="str">
        <x:v>MILAPEAK Terminal Block and Strip - 5pcs 6 Positions 600V 25A Dual Row Screw Terminals Strip with Cover+5pcs Pre-Insulated Barrier Jumper Strips Black &amp; Red + Spade Fork Wire Connectors</x:v>
      </x:c>
      <x:c r="E24" s="41" t="str">
        <x:v>Steel / aluminum hardware</x:v>
      </x:c>
      <x:c r="F24" s="41" t="n">
        <x:v>1</x:v>
      </x:c>
      <x:c r="G24" s="41" t="n">
        <x:v>4</x:v>
      </x:c>
      <x:c r="H24" s="42" t="n">
        <x:v>13.98</x:v>
      </x:c>
      <x:c r="I24" s="42" t="n">
        <x:v>13.98</x:v>
      </x:c>
      <x:c r="J24" s="41" t="str">
        <x:v>Yes</x:v>
      </x:c>
      <x:c r="K24" s="41" t="str">
        <x:v>Yes</x:v>
      </x:c>
      <x:c r="L24" s="41" t="str">
        <x:v>https://www.google.com/search?q=MP-T003-03-141+Terminal+Block+and+Strip</x:v>
      </x:c>
      <x:c r="M24" s="41" t="str">
        <x:v>Barrier block detail in DrawingPackage page 9 for assembly representation.</x:v>
      </x:c>
    </x:row>
    <x:row r="25">
      <x:c r="A25" s="41" t="n">
        <x:v>18</x:v>
      </x:c>
      <x:c r="B25" s="41" t="str">
        <x:v>ASIN: B07Q6J9TNW</x:v>
      </x:c>
      <x:c r="C25" s="41" t="str">
        <x:v>Flyback Diode</x:v>
      </x:c>
      <x:c r="D25" s="41" t="str">
        <x:v>BOJACK 1N4007 Rectifier Diode 1 A 1000 V DO-41 Axial 4007 1 amp 1000 Volt Electronic Silicon Diodes (Pack of 125)</x:v>
      </x:c>
      <x:c r="E25" s="41" t="str">
        <x:v>Purchased electrical component</x:v>
      </x:c>
      <x:c r="F25" s="41" t="n">
        <x:v>1</x:v>
      </x:c>
      <x:c r="G25" s="41" t="n">
        <x:v>125</x:v>
      </x:c>
      <x:c r="H25" s="42" t="n">
        <x:v>5.99</x:v>
      </x:c>
      <x:c r="I25" s="42" t="n">
        <x:v>5.99</x:v>
      </x:c>
      <x:c r="J25" s="41" t="str">
        <x:v>Yes</x:v>
      </x:c>
      <x:c r="K25" s="41" t="str">
        <x:v>Yes</x:v>
      </x:c>
      <x:c r="L25" s="41" t="str">
        <x:v>https://www.amazon.com/dp/B07Q6J9TNW</x:v>
      </x:c>
      <x:c r="M25" s="41"/>
    </x:row>
    <x:row r="26">
      <x:c r="A26" s="41" t="n">
        <x:v>19</x:v>
      </x:c>
      <x:c r="B26" s="41" t="str">
        <x:v>602105588997</x:v>
      </x:c>
      <x:c r="C26" s="41" t="str">
        <x:v>Rubber Feet</x:v>
      </x:c>
      <x:c r="D26" s="41" t="str">
        <x:v>Self-Adhesive Clear Rubber Feet Tiny Bumpons 0.25" in Diameter x 0.079" Height PACK/100pcs (6x2mm 100pcs)</x:v>
      </x:c>
      <x:c r="E26" s="41" t="str">
        <x:v>Rubber/felt damping component</x:v>
      </x:c>
      <x:c r="F26" s="41" t="n">
        <x:v>1</x:v>
      </x:c>
      <x:c r="G26" s="41" t="n">
        <x:v>100</x:v>
      </x:c>
      <x:c r="H26" s="42" t="n">
        <x:v>4.29</x:v>
      </x:c>
      <x:c r="I26" s="42" t="n">
        <x:v>4.29</x:v>
      </x:c>
      <x:c r="J26" s="41" t="str">
        <x:v>Yes</x:v>
      </x:c>
      <x:c r="K26" s="41" t="str">
        <x:v>Yes</x:v>
      </x:c>
      <x:c r="L26" s="41" t="str">
        <x:v>https://www.google.com/search?q=602105588997+Rubber+Feet</x:v>
      </x:c>
      <x:c r="M26" s="41"/>
    </x:row>
    <x:row r="27">
      <x:c r="A27" s="41" t="n">
        <x:v>20</x:v>
      </x:c>
      <x:c r="B27" s="41" t="str">
        <x:v>FR-PLAYG-BK-1KG</x:v>
      </x:c>
      <x:c r="C27" s="41" t="str">
        <x:v>Matte 3D Printer Filament</x:v>
      </x:c>
      <x:c r="D27" s="41" t="str">
        <x:v>SUNLU PLA Matte 3D Printer Filament 1.75mm, PLA Filament 1kg Spool (2.2lbs), Dimensional Accuracy +/- 0.02mm, Matte Black PLA</x:v>
      </x:c>
      <x:c r="E27" s="41" t="str">
        <x:v>3D printing filament</x:v>
      </x:c>
      <x:c r="F27" s="41" t="n">
        <x:v>1</x:v>
      </x:c>
      <x:c r="G27" s="41" t="n">
        <x:v>1</x:v>
      </x:c>
      <x:c r="H27" s="42" t="n">
        <x:v>14.99</x:v>
      </x:c>
      <x:c r="I27" s="42" t="n">
        <x:v>14.99</x:v>
      </x:c>
      <x:c r="J27" s="41" t="str">
        <x:v>Yes</x:v>
      </x:c>
      <x:c r="K27" s="41" t="str">
        <x:v>Yes</x:v>
      </x:c>
      <x:c r="L27" s="41" t="str">
        <x:v>https://www.google.com/search?q=FR-PLAYG-BK-1KG+Matte+3D+Printer+Filament</x:v>
      </x:c>
      <x:c r="M27" s="41" t="str">
        <x:v>Material for printed custom parts; see solenoid mounting and MOSFET mount drawings.</x:v>
      </x:c>
    </x:row>
    <x:row r="28">
      <x:c r="A28" s="41" t="n">
        <x:v>21</x:v>
      </x:c>
      <x:c r="B28" s="41" t="str">
        <x:v>317479409</x:v>
      </x:c>
      <x:c r="C28" s="41" t="str">
        <x:v>Wood Screws</x:v>
      </x:c>
      <x:c r="D28" s="41" t="str">
        <x:v>#4 x 1/2 in. Zinc Plated Phillips Flat Head Wood Screw (12-Pack)</x:v>
      </x:c>
      <x:c r="E28" s="41" t="str">
        <x:v>Steel / aluminum hardware</x:v>
      </x:c>
      <x:c r="F28" s="41" t="n">
        <x:v>5</x:v>
      </x:c>
      <x:c r="G28" s="41" t="n">
        <x:v>12</x:v>
      </x:c>
      <x:c r="H28" s="42" t="n">
        <x:v>1.57</x:v>
      </x:c>
      <x:c r="I28" s="42" t="n">
        <x:v>7.85</x:v>
      </x:c>
      <x:c r="J28" s="41" t="str">
        <x:v>Yes</x:v>
      </x:c>
      <x:c r="K28" s="41" t="str">
        <x:v>Yes</x:v>
      </x:c>
      <x:c r="L28" s="41" t="str">
        <x:v>https://www.homedepot.com/s/317479409</x:v>
      </x:c>
      <x:c r="M28" s="41"/>
    </x:row>
    <x:row r="29">
      <x:c r="A29" s="41" t="n">
        <x:v>22</x:v>
      </x:c>
      <x:c r="B29" s="41" t="str">
        <x:v>Link</x:v>
      </x:c>
      <x:c r="C29" s="41" t="str">
        <x:v>Krylon COLORmaxx Satin Paint + Primer</x:v>
      </x:c>
      <x:c r="D29" s="41" t="str">
        <x:v>Krylon COLORmaxx Satin Paint + Primer</x:v>
      </x:c>
      <x:c r="E29" s="41" t="str">
        <x:v>Paint/finish</x:v>
      </x:c>
      <x:c r="F29" s="41" t="n">
        <x:v>1</x:v>
      </x:c>
      <x:c r="G29" s="41" t="n">
        <x:v>1</x:v>
      </x:c>
      <x:c r="H29" s="42" t="n">
        <x:v>9.99</x:v>
      </x:c>
      <x:c r="I29" s="42" t="n">
        <x:v>9.99</x:v>
      </x:c>
      <x:c r="J29" s="41" t="str">
        <x:v>Yes</x:v>
      </x:c>
      <x:c r="K29" s="41" t="str">
        <x:v>Yes</x:v>
      </x:c>
      <x:c r="L29" s="41" t="str">
        <x:v>https://www.google.com/search?q=Krylon+COLORmaxx+Satin+Paint+%2B+Primer</x:v>
      </x:c>
      <x:c r="M29" s="41"/>
    </x:row>
    <x:row r="30">
      <x:c r="A30" s="41" t="n">
        <x:v>23</x:v>
      </x:c>
      <x:c r="B30" s="41" t="str">
        <x:v>Provided by donor</x:v>
      </x:c>
      <x:c r="C30" s="41" t="str">
        <x:v>Yamaha PSR-530</x:v>
      </x:c>
      <x:c r="D30" s="41" t="str">
        <x:v>used keyboard</x:v>
      </x:c>
      <x:c r="E30" s="41" t="str">
        <x:v>Donated off-the-shelf keyboard</x:v>
      </x:c>
      <x:c r="F30" s="41" t="n">
        <x:v>1</x:v>
      </x:c>
      <x:c r="G30" s="41" t="n">
        <x:v>1</x:v>
      </x:c>
      <x:c r="H30" s="42" t="n">
        <x:v>0</x:v>
      </x:c>
      <x:c r="I30" s="42" t="n">
        <x:v>0</x:v>
      </x:c>
      <x:c r="J30" s="41" t="str">
        <x:v>Yes</x:v>
      </x:c>
      <x:c r="K30" s="41" t="str">
        <x:v>Yes</x:v>
      </x:c>
      <x:c r="L30" s="41" t="str">
        <x:v>N/A - provided/donated</x:v>
      </x:c>
      <x:c r="M30" s="41"/>
    </x:row>
    <x:row r="31">
      <x:c r="A31" s="41" t="n">
        <x:v>24</x:v>
      </x:c>
      <x:c r="B31" s="41" t="str">
        <x:v>Purchased at OSUsed</x:v>
      </x:c>
      <x:c r="C31" s="41" t="str">
        <x:v>Plywood</x:v>
      </x:c>
      <x:c r="D31" s="41" t="str">
        <x:v>scrapwood at second hand store</x:v>
      </x:c>
      <x:c r="E31" s="41" t="str">
        <x:v>Plywood/wood</x:v>
      </x:c>
      <x:c r="F31" s="41" t="n">
        <x:v>1</x:v>
      </x:c>
      <x:c r="G31" s="41" t="n">
        <x:v>2</x:v>
      </x:c>
      <x:c r="H31" s="42" t="n">
        <x:v>0</x:v>
      </x:c>
      <x:c r="I31" s="42" t="n">
        <x:v>0</x:v>
      </x:c>
      <x:c r="J31" s="41" t="str">
        <x:v>Yes</x:v>
      </x:c>
      <x:c r="K31" s="41" t="str">
        <x:v>Yes</x:v>
      </x:c>
      <x:c r="L31" s="41" t="str">
        <x:v>N/A - purchased second-hand</x:v>
      </x:c>
      <x:c r="M31" s="41"/>
    </x:row>
    <x:row r="32">
      <x:c r="A32" s="41" t="n">
        <x:v>25</x:v>
      </x:c>
      <x:c r="B32" s="41" t="str">
        <x:v>Provided by Kyle</x:v>
      </x:c>
      <x:c r="C32" s="41" t="str">
        <x:v>M6 10mm Screws</x:v>
      </x:c>
      <x:c r="D32" s="41" t="str">
        <x:v>Screws that were used to secure the frame and mounting plates to the frame</x:v>
      </x:c>
      <x:c r="E32" s="41" t="str">
        <x:v>Steel / aluminum hardware</x:v>
      </x:c>
      <x:c r="F32" s="41" t="n">
        <x:v>1</x:v>
      </x:c>
      <x:c r="G32" s="41" t="n">
        <x:v>40</x:v>
      </x:c>
      <x:c r="H32" s="42" t="n">
        <x:v>0</x:v>
      </x:c>
      <x:c r="I32" s="42" t="n">
        <x:v>0</x:v>
      </x:c>
      <x:c r="J32" s="41" t="str">
        <x:v>Yes</x:v>
      </x:c>
      <x:c r="K32" s="41" t="str">
        <x:v>Yes</x:v>
      </x:c>
      <x:c r="L32" s="41" t="str">
        <x:v>N/A - provided/donated</x:v>
      </x:c>
      <x:c r="M32" s="41"/>
    </x:row>
    <x:row r="33">
      <x:c r="A33" s="41" t="n">
        <x:v>26</x:v>
      </x:c>
      <x:c r="B33" s="41" t="str">
        <x:v>7630887424</x:v>
      </x:c>
      <x:c r="C33" s="41" t="str">
        <x:v>Scotch Round Felt Pads - Brown</x:v>
      </x:c>
      <x:c r="D33" s="41" t="str">
        <x:v>Pads were used to dampen the contact between the solenoids and the piano keys</x:v>
      </x:c>
      <x:c r="E33" s="41" t="str">
        <x:v>Purchased electromechanical component</x:v>
      </x:c>
      <x:c r="F33" s="41" t="n">
        <x:v>1</x:v>
      </x:c>
      <x:c r="G33" s="41" t="n">
        <x:v>32</x:v>
      </x:c>
      <x:c r="H33" s="42" t="n">
        <x:v>6.99</x:v>
      </x:c>
      <x:c r="I33" s="42" t="n">
        <x:v>6.99</x:v>
      </x:c>
      <x:c r="J33" s="41" t="str">
        <x:v>Yes</x:v>
      </x:c>
      <x:c r="K33" s="41" t="str">
        <x:v>Yes</x:v>
      </x:c>
      <x:c r="L33" s="41" t="str">
        <x:v>https://www.google.com/search?q=7630887424+Scotch+Round+Felt+Pads+-+Brown</x:v>
      </x:c>
      <x:c r="M33" s="41"/>
    </x:row>
    <x:row r="34">
      <x:c r="A34" s="41" t="n">
        <x:v>27</x:v>
      </x:c>
      <x:c r="B34" s="41" t="str">
        <x:v>69060</x:v>
      </x:c>
      <x:c r="C34" s="41" t="str">
        <x:v>Soldering Iron</x:v>
      </x:c>
      <x:c r="D34" s="41" t="str">
        <x:v>CHICAGO ELECTRIC 30 Watt Lightweight Soldering Iron</x:v>
      </x:c>
      <x:c r="E34" s="41" t="str">
        <x:v>Purchased tool/consumable</x:v>
      </x:c>
      <x:c r="F34" s="41" t="n">
        <x:v>1</x:v>
      </x:c>
      <x:c r="G34" s="41" t="n">
        <x:v>1</x:v>
      </x:c>
      <x:c r="H34" s="42" t="n">
        <x:v>6.99</x:v>
      </x:c>
      <x:c r="I34" s="42" t="n">
        <x:v>6.99</x:v>
      </x:c>
      <x:c r="J34" s="41" t="str">
        <x:v>Yes</x:v>
      </x:c>
      <x:c r="K34" s="41" t="str">
        <x:v>Yes</x:v>
      </x:c>
      <x:c r="L34" s="41" t="str">
        <x:v>https://www.google.com/search?q=69060+Soldering+Iron</x:v>
      </x:c>
      <x:c r="M34" s="41"/>
    </x:row>
    <x:row r="35">
      <x:c r="A35" s="41" t="n">
        <x:v>28</x:v>
      </x:c>
      <x:c r="B35" s="41" t="str">
        <x:v>58000</x:v>
      </x:c>
      <x:c r="C35" s="41" t="str">
        <x:v>Solder</x:v>
      </x:c>
      <x:c r="D35" s="41" t="str">
        <x:v>SCHNEIDER 0.8 mm Electrical Solder</x:v>
      </x:c>
      <x:c r="E35" s="41" t="str">
        <x:v>Purchased tool/consumable</x:v>
      </x:c>
      <x:c r="F35" s="41" t="n">
        <x:v>1</x:v>
      </x:c>
      <x:c r="G35" s="41" t="n">
        <x:v>1</x:v>
      </x:c>
      <x:c r="H35" s="42" t="n">
        <x:v>19.99</x:v>
      </x:c>
      <x:c r="I35" s="42" t="n">
        <x:v>19.99</x:v>
      </x:c>
      <x:c r="J35" s="41" t="str">
        <x:v>Yes</x:v>
      </x:c>
      <x:c r="K35" s="41" t="str">
        <x:v>Yes</x:v>
      </x:c>
      <x:c r="L35" s="41" t="str">
        <x:v>https://www.google.com/search?q=58000+Solder</x:v>
      </x:c>
      <x:c r="M35" s="41"/>
    </x:row>
    <x:row r="36">
      <x:c r="A36" s="41" t="n">
        <x:v>29</x:v>
      </x:c>
      <x:c r="B36" s="41" t="str">
        <x:v>Shipping</x:v>
      </x:c>
      <x:c r="C36" s="41" t="str">
        <x:v>AliExpress Shipping Cost</x:v>
      </x:c>
      <x:c r="D36" s="41" t="str">
        <x:v>Shipping cost</x:v>
      </x:c>
      <x:c r="E36" s="41" t="str">
        <x:v>Purchased/off-the-shelf component</x:v>
      </x:c>
      <x:c r="F36" s="41" t="n">
        <x:v>1</x:v>
      </x:c>
      <x:c r="G36" s="41" t="n">
        <x:v>1</x:v>
      </x:c>
      <x:c r="H36" s="42" t="n">
        <x:v>17.47</x:v>
      </x:c>
      <x:c r="I36" s="42" t="n">
        <x:v>17.47</x:v>
      </x:c>
      <x:c r="J36" s="41" t="str">
        <x:v>Yes</x:v>
      </x:c>
      <x:c r="K36" s="41" t="str">
        <x:v>Yes</x:v>
      </x:c>
      <x:c r="L36" s="41" t="str">
        <x:v>N/A - shipping cost</x:v>
      </x:c>
      <x:c r="M36" s="41"/>
    </x:row>
    <x:row r="37">
      <x:c r="A37" s="41" t="n">
        <x:v>30</x:v>
      </x:c>
      <x:c r="B37" s="41" t="str">
        <x:v>Shipping</x:v>
      </x:c>
      <x:c r="C37" s="41" t="str">
        <x:v>McMaster Shipping Cost</x:v>
      </x:c>
      <x:c r="D37" s="41" t="str">
        <x:v>Shipping cost</x:v>
      </x:c>
      <x:c r="E37" s="41" t="str">
        <x:v>Purchased/off-the-shelf component</x:v>
      </x:c>
      <x:c r="F37" s="41" t="n">
        <x:v>1</x:v>
      </x:c>
      <x:c r="G37" s="41" t="n">
        <x:v>1</x:v>
      </x:c>
      <x:c r="H37" s="42" t="n">
        <x:v>67.88</x:v>
      </x:c>
      <x:c r="I37" s="42" t="n">
        <x:v>67.88</x:v>
      </x:c>
      <x:c r="J37" s="41" t="str">
        <x:v>Yes</x:v>
      </x:c>
      <x:c r="K37" s="41" t="str">
        <x:v>Yes</x:v>
      </x:c>
      <x:c r="L37" s="41" t="str">
        <x:v>N/A - shipping cost</x:v>
      </x:c>
      <x:c r="M37" s="41"/>
    </x:row>
    <x:row r="38">
      <x:c r="A38" s="43"/>
      <x:c r="B38" s="43"/>
      <x:c r="C38" s="43"/>
      <x:c r="D38" s="43"/>
      <x:c r="E38" s="43"/>
      <x:c r="F38" s="43"/>
      <x:c r="G38" s="43" t="str">
        <x:v>TOTAL</x:v>
      </x:c>
      <x:c r="H38" s="44"/>
      <x:c r="I38" s="44" t="n">
        <x:f>SUM(I8:I37)</x:f>
        <x:v>985.9200000000002</x:v>
      </x:c>
      <x:c r="J38" s="43"/>
      <x:c r="K38" s="43"/>
      <x:c r="L38" s="43"/>
      <x:c r="M38" s="43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69dcb269a7d47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60" t="str">
        <x:v>Team 044 PianoBot Submission Notes</x:v>
      </x:c>
    </x:row>
    <x:row r="2">
      <x:c r="A2" s="12" t="str"/>
    </x:row>
    <x:row r="3">
      <x:c r="A3" s="12" t="str">
        <x:v>Drawing package PDF includes: full assembly drawing, subsystem/part drawings, MOSFET mount drawing, and PCA9685 mount drawing.</x:v>
      </x:c>
    </x:row>
    <x:row r="4">
      <x:c r="A4" s="12" t="str">
        <x:v>BOM spreadsheet includes: part number/source ID, part name, description, material/type, quantity, unit cost, amount, source link, and drawing reference notes.</x:v>
      </x:c>
    </x:row>
    <x:row r="5">
      <x:c r="A5" s="12" t="str">
        <x:v>Design changes summary is included separately for iterative-project documentation.</x:v>
      </x:c>
    </x:row>
    <x:row r="6">
      <x:c r="A6" s="12" t="str"/>
    </x:row>
    <x:row r="7">
      <x:c r="A7" s="12" t="str">
        <x:v>Caveat: Purchase links were reconstructed from existing ASIN/UPC/McMaster/source identifiers where visible in the team BOM. Verify links before reordering.</x:v>
      </x:c>
    </x:row>
  </x:sheetData>
  <x:pageMargins left="0.7" right="0.7" top="0.75" bottom="0.75" header="0.3" footer="0.3"/>
</x:worksheet>
</file>